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4"/>
  </sheets>
  <definedNames/>
  <calcPr/>
</workbook>
</file>

<file path=xl/sharedStrings.xml><?xml version="1.0" encoding="utf-8"?>
<sst xmlns="http://schemas.openxmlformats.org/spreadsheetml/2006/main" count="105" uniqueCount="40">
  <si>
    <t>Reprodução de Artigo</t>
  </si>
  <si>
    <t>Etapas</t>
  </si>
  <si>
    <t>Responsável</t>
  </si>
  <si>
    <t>Duração</t>
  </si>
  <si>
    <t>SEG</t>
  </si>
  <si>
    <t>TER</t>
  </si>
  <si>
    <t>QUA</t>
  </si>
  <si>
    <t>QUI</t>
  </si>
  <si>
    <t>SEX</t>
  </si>
  <si>
    <t>Fase 1: Aquisição e Estruturação do Dataset</t>
  </si>
  <si>
    <t>3 d</t>
  </si>
  <si>
    <t>Baixar código-fonte do OWASP Juice Shop</t>
  </si>
  <si>
    <t>Kauan</t>
  </si>
  <si>
    <t>2 d</t>
  </si>
  <si>
    <t>Isolar 20 arquivos vulneraveis</t>
  </si>
  <si>
    <t>Josué</t>
  </si>
  <si>
    <t>Isolar 10 arquivos seguros</t>
  </si>
  <si>
    <t>1 d</t>
  </si>
  <si>
    <t>Fase 2: Pré-processamento do Código-fonte</t>
  </si>
  <si>
    <t>Criar cópias dos arquivos e remover ruídos não-funcionais (comentários de bloco, marcadores de desafio, comentarios de licença)</t>
  </si>
  <si>
    <t>Criar dois pacotes de arquivos: um com as cópias pré-processadas (para os LLMs) e um com a versão original (para os SASTs)</t>
  </si>
  <si>
    <t>Fase 3: Configuração do Ambiente de Testes</t>
  </si>
  <si>
    <t>5 d</t>
  </si>
  <si>
    <t>Configurar um Pipeline CI/CD via Github Actions</t>
  </si>
  <si>
    <t>Instalar a plataforma Ollama localmente e fazer download dos modelos-base que serão utilizados (Codellama e DeepSeek-Coder)</t>
  </si>
  <si>
    <t>Fase 4: Execução da Varredura</t>
  </si>
  <si>
    <t>18 d</t>
  </si>
  <si>
    <t>Disparar as Execuções do SonarQube e Semgrep via Github Actions nos arquivos originais e coletar relatórios de saída</t>
  </si>
  <si>
    <t>Submeter os arquivos pré-processados aos LLMs (DeepSeek e CodeLlama) utilizando o prompt estruturado no artigo.</t>
  </si>
  <si>
    <t>Classificação e Cálculo de Métricas</t>
  </si>
  <si>
    <t>15 d</t>
  </si>
  <si>
    <t>Comparar os alertas gerados com o gabarito do OWASP Juice Shop</t>
  </si>
  <si>
    <t>7 d</t>
  </si>
  <si>
    <t>Rotular cada alerta como Verdadeiro Positivo (VP), Falso Positivo (FP) ou Falso Negativo (FN)</t>
  </si>
  <si>
    <t>Implementar e executar o script python fornecido no artigo usando a biblioteca scikit-learn.</t>
  </si>
  <si>
    <t>Josué e Kauan</t>
  </si>
  <si>
    <t>Anotações</t>
  </si>
  <si>
    <t>Deadline extendida por 2 semanas</t>
  </si>
  <si>
    <t>Dependência Externa</t>
  </si>
  <si>
    <t>Crítico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</si>
</sst>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"/>
  </numFmts>
  <fonts count="16">
    <font>
      <sz val="10.0"/>
      <color rgb="FF000000"/>
      <name val="Arial"/>
    </font>
    <font>
      <sz val="10.0"/>
      <color rgb="FF010000"/>
    </font>
    <font>
      <sz val="10.0"/>
      <color rgb="FF010000"/>
      <name val="Verdana"/>
    </font>
    <font>
      <sz val="8.0"/>
      <color rgb="FF010000"/>
      <name val="Verdana"/>
    </font>
    <font>
      <sz val="10.0"/>
      <color rgb="FF000000"/>
    </font>
    <font>
      <b/>
      <i/>
      <sz val="11.0"/>
      <color rgb="FFFFFFFF"/>
      <name val="Verdana"/>
    </font>
    <font/>
    <font>
      <b/>
      <sz val="10.0"/>
      <color rgb="FF010000"/>
      <name val="Verdana"/>
    </font>
    <font>
      <sz val="9.0"/>
      <color rgb="FF010000"/>
      <name val="Verdana"/>
    </font>
    <font>
      <b/>
      <sz val="8.0"/>
      <color rgb="FF010000"/>
      <name val="Verdana"/>
    </font>
    <font>
      <b/>
      <sz val="9.0"/>
      <color rgb="FF010000"/>
      <name val="Verdana"/>
    </font>
    <font>
      <b/>
      <sz val="8.0"/>
      <color rgb="FFC0C0C0"/>
      <name val="Verdana"/>
    </font>
    <font>
      <b/>
      <sz val="8.0"/>
      <color rgb="FFFFFFFF"/>
      <name val="Verdana"/>
    </font>
    <font>
      <b/>
      <sz val="8.0"/>
      <color rgb="FF198A8A"/>
      <name val="Verdana"/>
    </font>
    <font>
      <b/>
      <sz val="10.0"/>
      <color rgb="FF010000"/>
    </font>
    <font>
      <b/>
      <sz val="8.0"/>
      <color rgb="FF333333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198A8A"/>
        <bgColor rgb="FF198A8A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C2D1F0"/>
        <bgColor rgb="FFC2D1F0"/>
      </patternFill>
    </fill>
    <fill>
      <patternFill patternType="solid">
        <fgColor rgb="FFC0C0C0"/>
        <bgColor rgb="FFC0C0C0"/>
      </patternFill>
    </fill>
    <fill>
      <patternFill patternType="solid">
        <fgColor rgb="FF008080"/>
        <bgColor rgb="FF008080"/>
      </patternFill>
    </fill>
    <fill>
      <patternFill patternType="solid">
        <fgColor rgb="FFFF0000"/>
        <bgColor rgb="FFFF0000"/>
      </patternFill>
    </fill>
  </fills>
  <borders count="18">
    <border/>
    <border>
      <bottom style="thin">
        <color rgb="FF010000"/>
      </bottom>
    </border>
    <border>
      <right style="thin">
        <color rgb="FF010000"/>
      </right>
    </border>
    <border>
      <left style="thin">
        <color rgb="FF010000"/>
      </left>
      <top style="thin">
        <color rgb="FF010000"/>
      </top>
    </border>
    <border>
      <top style="thin">
        <color rgb="FF010000"/>
      </top>
    </border>
    <border>
      <right style="thin">
        <color rgb="FF010000"/>
      </right>
      <top style="thin">
        <color rgb="FF010000"/>
      </top>
    </border>
    <border>
      <left style="thin">
        <color rgb="FF010000"/>
      </left>
      <bottom style="thin">
        <color rgb="FF010000"/>
      </bottom>
    </border>
    <border>
      <right style="thin">
        <color rgb="FF010000"/>
      </right>
      <bottom style="thin">
        <color rgb="FF010000"/>
      </bottom>
    </border>
    <border>
      <left style="thin">
        <color rgb="FF010000"/>
      </left>
    </border>
    <border>
      <right style="hair">
        <color rgb="FF000000"/>
      </right>
      <top style="thin">
        <color rgb="FF010000"/>
      </top>
    </border>
    <border>
      <left style="hair">
        <color rgb="FF000000"/>
      </left>
      <top style="thin">
        <color rgb="FF010000"/>
      </top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010000"/>
      </bottom>
    </border>
    <border>
      <left style="hair">
        <color rgb="FF000000"/>
      </left>
      <bottom style="thin">
        <color rgb="FF010000"/>
      </bottom>
    </border>
    <border>
      <left style="thin">
        <color rgb="FF010000"/>
      </left>
      <top style="thin">
        <color rgb="FF010000"/>
      </top>
      <bottom style="thin">
        <color rgb="FF010000"/>
      </bottom>
    </border>
    <border>
      <top style="thin">
        <color rgb="FF010000"/>
      </top>
      <bottom style="thin">
        <color rgb="FF010000"/>
      </bottom>
    </border>
    <border>
      <right style="thin">
        <color rgb="FF010000"/>
      </right>
      <top style="thin">
        <color rgb="FF010000"/>
      </top>
      <bottom style="thin">
        <color rgb="FF01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wrapText="1"/>
    </xf>
    <xf borderId="3" fillId="2" fontId="5" numFmtId="0" xfId="0" applyAlignment="1" applyBorder="1" applyFill="1" applyFont="1">
      <alignment readingOrder="0" shrinkToFit="0" vertical="top" wrapText="1"/>
    </xf>
    <xf borderId="4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6" fillId="3" fontId="7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8" fillId="4" fontId="8" numFmtId="0" xfId="0" applyAlignment="1" applyBorder="1" applyFill="1" applyFont="1">
      <alignment shrinkToFit="0" wrapText="1"/>
    </xf>
    <xf borderId="2" fillId="0" fontId="6" numFmtId="0" xfId="0" applyAlignment="1" applyBorder="1" applyFont="1">
      <alignment shrinkToFit="0" wrapText="1"/>
    </xf>
    <xf borderId="3" fillId="5" fontId="9" numFmtId="164" xfId="0" applyAlignment="1" applyBorder="1" applyFill="1" applyFont="1" applyNumberFormat="1">
      <alignment horizontal="center" readingOrder="0" shrinkToFit="0" vertical="bottom" wrapText="1"/>
    </xf>
    <xf borderId="4" fillId="5" fontId="9" numFmtId="164" xfId="0" applyAlignment="1" applyBorder="1" applyFill="1" applyFont="1" applyNumberFormat="1">
      <alignment horizontal="center" shrinkToFit="0" vertical="center" wrapText="1"/>
    </xf>
    <xf borderId="9" fillId="5" fontId="9" numFmtId="164" xfId="0" applyAlignment="1" applyBorder="1" applyFill="1" applyFont="1" applyNumberFormat="1">
      <alignment horizontal="center" shrinkToFit="0" vertical="center" wrapText="1"/>
    </xf>
    <xf borderId="10" fillId="5" fontId="9" numFmtId="164" xfId="0" applyAlignment="1" applyBorder="1" applyFill="1" applyFont="1" applyNumberFormat="1">
      <alignment horizontal="center" shrinkToFit="0" vertical="center" wrapText="1"/>
    </xf>
    <xf borderId="5" fillId="5" fontId="9" numFmtId="164" xfId="0" applyAlignment="1" applyBorder="1" applyFill="1" applyFont="1" applyNumberFormat="1">
      <alignment horizontal="center" shrinkToFit="0" vertical="center" wrapText="1"/>
    </xf>
    <xf borderId="8" fillId="4" fontId="10" numFmtId="0" xfId="0" applyAlignment="1" applyBorder="1" applyFill="1" applyFont="1">
      <alignment readingOrder="0" shrinkToFit="0" wrapText="1"/>
    </xf>
    <xf borderId="0" fillId="4" fontId="10" numFmtId="0" xfId="0" applyAlignment="1" applyFill="1" applyFont="1">
      <alignment readingOrder="0" shrinkToFit="0" wrapText="1"/>
    </xf>
    <xf borderId="2" fillId="4" fontId="10" numFmtId="0" xfId="0" applyAlignment="1" applyBorder="1" applyFill="1" applyFont="1">
      <alignment readingOrder="0" shrinkToFit="0" wrapText="1"/>
    </xf>
    <xf borderId="8" fillId="5" fontId="3" numFmtId="0" xfId="0" applyAlignment="1" applyBorder="1" applyFill="1" applyFont="1">
      <alignment horizontal="center" readingOrder="0" shrinkToFit="0" vertical="bottom" wrapText="1"/>
    </xf>
    <xf borderId="0" fillId="5" fontId="3" numFmtId="0" xfId="0" applyAlignment="1" applyFill="1" applyFont="1">
      <alignment horizontal="center" readingOrder="0" shrinkToFit="0" vertical="bottom" wrapText="1"/>
    </xf>
    <xf borderId="11" fillId="5" fontId="3" numFmtId="0" xfId="0" applyAlignment="1" applyBorder="1" applyFill="1" applyFont="1">
      <alignment horizontal="center" readingOrder="0" shrinkToFit="0" vertical="bottom" wrapText="1"/>
    </xf>
    <xf borderId="12" fillId="5" fontId="3" numFmtId="0" xfId="0" applyAlignment="1" applyBorder="1" applyFill="1" applyFont="1">
      <alignment horizontal="center" readingOrder="0" shrinkToFit="0" vertical="bottom" wrapText="1"/>
    </xf>
    <xf borderId="2" fillId="5" fontId="3" numFmtId="0" xfId="0" applyAlignment="1" applyBorder="1" applyFill="1" applyFont="1">
      <alignment horizontal="center" readingOrder="0" shrinkToFit="0" vertical="bottom" wrapText="1"/>
    </xf>
    <xf borderId="6" fillId="4" fontId="8" numFmtId="0" xfId="0" applyAlignment="1" applyBorder="1" applyFill="1" applyFont="1">
      <alignment shrinkToFit="0" wrapText="1"/>
    </xf>
    <xf borderId="6" fillId="5" fontId="3" numFmtId="0" xfId="0" applyAlignment="1" applyBorder="1" applyFill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3" fillId="5" fontId="3" numFmtId="0" xfId="0" applyAlignment="1" applyBorder="1" applyFill="1" applyFont="1">
      <alignment shrinkToFit="0" wrapText="1"/>
    </xf>
    <xf borderId="14" fillId="5" fontId="3" numFmtId="0" xfId="0" applyAlignment="1" applyBorder="1" applyFill="1" applyFont="1">
      <alignment shrinkToFit="0" wrapText="1"/>
    </xf>
    <xf borderId="7" fillId="5" fontId="3" numFmtId="0" xfId="0" applyAlignment="1" applyBorder="1" applyFill="1" applyFont="1">
      <alignment shrinkToFit="0" wrapText="1"/>
    </xf>
    <xf borderId="3" fillId="5" fontId="10" numFmtId="0" xfId="0" applyAlignment="1" applyBorder="1" applyFill="1" applyFont="1">
      <alignment readingOrder="0" shrinkToFit="0" wrapText="1"/>
    </xf>
    <xf borderId="5" fillId="5" fontId="10" numFmtId="0" xfId="0" applyAlignment="1" applyBorder="1" applyFill="1" applyFont="1">
      <alignment horizontal="center" readingOrder="0" shrinkToFit="0" vertical="bottom" wrapText="1"/>
    </xf>
    <xf borderId="15" fillId="6" fontId="11" numFmtId="0" xfId="0" applyAlignment="1" applyBorder="1" applyFill="1" applyFont="1">
      <alignment horizontal="center" shrinkToFit="0" vertical="center" wrapText="1"/>
    </xf>
    <xf borderId="16" fillId="4" fontId="11" numFmtId="0" xfId="0" applyAlignment="1" applyBorder="1" applyFill="1" applyFont="1">
      <alignment horizontal="center"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7" fillId="6" fontId="11" numFmtId="0" xfId="0" applyAlignment="1" applyBorder="1" applyFill="1" applyFont="1">
      <alignment horizontal="center" shrinkToFit="0" vertical="center" wrapText="1"/>
    </xf>
    <xf borderId="15" fillId="4" fontId="9" numFmtId="0" xfId="0" applyAlignment="1" applyBorder="1" applyFill="1" applyFont="1">
      <alignment horizontal="center" shrinkToFit="0" vertical="center" wrapText="1"/>
    </xf>
    <xf borderId="16" fillId="4" fontId="9" numFmtId="0" xfId="0" applyAlignment="1" applyBorder="1" applyFill="1" applyFont="1">
      <alignment horizontal="center" shrinkToFit="0" vertical="center" wrapText="1"/>
    </xf>
    <xf borderId="17" fillId="4" fontId="9" numFmtId="0" xfId="0" applyAlignment="1" applyBorder="1" applyFill="1" applyFont="1">
      <alignment horizontal="center" shrinkToFit="0" vertical="center" wrapText="1"/>
    </xf>
    <xf borderId="8" fillId="5" fontId="8" numFmtId="0" xfId="0" applyAlignment="1" applyBorder="1" applyFill="1" applyFont="1">
      <alignment shrinkToFit="0" wrapText="1"/>
    </xf>
    <xf borderId="0" fillId="5" fontId="8" numFmtId="0" xfId="0" applyAlignment="1" applyFill="1" applyFont="1">
      <alignment readingOrder="0" shrinkToFit="0" wrapText="1"/>
    </xf>
    <xf borderId="2" fillId="5" fontId="8" numFmtId="0" xfId="0" applyAlignment="1" applyBorder="1" applyFill="1" applyFont="1">
      <alignment horizontal="center" readingOrder="0" shrinkToFit="0" vertical="bottom" wrapText="1"/>
    </xf>
    <xf borderId="3" fillId="4" fontId="11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ill="1" applyFont="1">
      <alignment horizontal="center"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8" fillId="7" fontId="13" numFmtId="0" xfId="0" applyAlignment="1" applyBorder="1" applyFill="1" applyFont="1">
      <alignment horizontal="center" shrinkToFit="0" vertical="center" wrapText="1"/>
    </xf>
    <xf borderId="0" fillId="4" fontId="11" numFmtId="0" xfId="0" applyAlignment="1" applyFill="1" applyFont="1">
      <alignment horizontal="center" shrinkToFit="0" vertical="center" wrapText="1"/>
    </xf>
    <xf borderId="0" fillId="7" fontId="11" numFmtId="0" xfId="0" applyAlignment="1" applyFill="1" applyFont="1">
      <alignment horizontal="center" shrinkToFit="0" vertical="center" wrapText="1"/>
    </xf>
    <xf borderId="2" fillId="7" fontId="11" numFmtId="0" xfId="0" applyAlignment="1" applyBorder="1" applyFill="1" applyFont="1">
      <alignment horizontal="center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0" fillId="4" fontId="9" numFmtId="0" xfId="0" applyAlignment="1" applyFill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7" fontId="13" numFmtId="0" xfId="0" applyAlignment="1" applyBorder="1" applyFill="1" applyFont="1">
      <alignment horizontal="center" shrinkToFit="0" vertical="center" wrapText="1"/>
    </xf>
    <xf borderId="7" fillId="7" fontId="11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0" fillId="5" fontId="8" numFmtId="0" xfId="0" applyAlignment="1" applyFill="1" applyFont="1">
      <alignment shrinkToFit="0" wrapText="1"/>
    </xf>
    <xf borderId="0" fillId="5" fontId="8" numFmtId="0" xfId="0" applyAlignment="1" applyFill="1" applyFont="1">
      <alignment horizontal="center" shrinkToFit="0" vertical="bottom" wrapText="1"/>
    </xf>
    <xf borderId="16" fillId="5" fontId="11" numFmtId="0" xfId="0" applyAlignment="1" applyBorder="1" applyFill="1" applyFont="1">
      <alignment horizontal="center" shrinkToFit="0" vertical="center" wrapText="1"/>
    </xf>
    <xf borderId="16" fillId="5" fontId="9" numFmtId="0" xfId="0" applyAlignment="1" applyBorder="1" applyFill="1" applyFont="1">
      <alignment horizontal="center" shrinkToFit="0" vertical="center" wrapText="1"/>
    </xf>
    <xf borderId="17" fillId="5" fontId="9" numFmtId="0" xfId="0" applyAlignment="1" applyBorder="1" applyFill="1" applyFont="1">
      <alignment horizontal="center" shrinkToFit="0" vertical="center" wrapText="1"/>
    </xf>
    <xf borderId="8" fillId="5" fontId="10" numFmtId="0" xfId="0" applyAlignment="1" applyBorder="1" applyFill="1" applyFont="1">
      <alignment readingOrder="0" shrinkToFit="0" wrapText="1"/>
    </xf>
    <xf borderId="2" fillId="5" fontId="10" numFmtId="0" xfId="0" applyAlignment="1" applyBorder="1" applyFill="1" applyFont="1">
      <alignment horizontal="center" readingOrder="0" shrinkToFit="0" vertical="bottom" wrapText="1"/>
    </xf>
    <xf borderId="15" fillId="4" fontId="11" numFmtId="0" xfId="0" applyAlignment="1" applyBorder="1" applyFill="1" applyFont="1">
      <alignment horizontal="center" shrinkToFit="0" vertical="center" wrapText="1"/>
    </xf>
    <xf borderId="17" fillId="4" fontId="11" numFmtId="0" xfId="0" applyAlignment="1" applyBorder="1" applyFill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6" fontId="9" numFmtId="0" xfId="0" applyAlignment="1" applyBorder="1" applyFill="1" applyFont="1">
      <alignment horizontal="center" shrinkToFit="0" vertical="center" wrapText="1"/>
    </xf>
    <xf borderId="17" fillId="6" fontId="9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horizontal="center" readingOrder="0" shrinkToFit="0" vertical="bottom" wrapText="1"/>
    </xf>
    <xf borderId="8" fillId="4" fontId="11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readingOrder="0" shrinkToFit="0" vertical="bottom" wrapText="1"/>
    </xf>
    <xf borderId="17" fillId="0" fontId="9" numFmtId="0" xfId="0" applyAlignment="1" applyBorder="1" applyFont="1">
      <alignment horizontal="center" shrinkToFit="0" vertical="center" wrapText="1"/>
    </xf>
    <xf borderId="15" fillId="6" fontId="9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3" fillId="8" fontId="9" numFmtId="0" xfId="0" applyAlignment="1" applyBorder="1" applyFill="1" applyFont="1">
      <alignment horizontal="center" readingOrder="0" shrinkToFit="0" vertical="center" wrapText="1"/>
    </xf>
    <xf borderId="4" fillId="8" fontId="9" numFmtId="0" xfId="0" applyAlignment="1" applyBorder="1" applyFill="1" applyFont="1">
      <alignment horizontal="center" readingOrder="0" shrinkToFit="0" vertical="center" wrapText="1"/>
    </xf>
    <xf borderId="2" fillId="4" fontId="11" numFmtId="0" xfId="0" applyAlignment="1" applyBorder="1" applyFill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7" fontId="6" numFmtId="0" xfId="0" applyAlignment="1" applyFill="1" applyFont="1">
      <alignment shrinkToFit="0" wrapText="1"/>
    </xf>
    <xf borderId="0" fillId="7" fontId="9" numFmtId="0" xfId="0" applyAlignment="1" applyFill="1" applyFont="1">
      <alignment horizontal="center" shrinkToFit="0" vertical="center" wrapText="1"/>
    </xf>
    <xf borderId="3" fillId="7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3" fillId="7" fontId="9" numFmtId="0" xfId="0" applyAlignment="1" applyBorder="1" applyFill="1" applyFont="1">
      <alignment horizontal="center" readingOrder="0" shrinkToFit="0" vertical="center" wrapText="1"/>
    </xf>
    <xf borderId="5" fillId="7" fontId="9" numFmtId="0" xfId="0" applyAlignment="1" applyBorder="1" applyFill="1" applyFont="1">
      <alignment horizontal="center" shrinkToFit="0" vertical="center" wrapText="1"/>
    </xf>
    <xf borderId="8" fillId="7" fontId="9" numFmtId="0" xfId="0" applyAlignment="1" applyBorder="1" applyFill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6" fillId="3" fontId="9" numFmtId="0" xfId="0" applyAlignment="1" applyBorder="1" applyFill="1" applyFont="1">
      <alignment horizontal="center" shrinkToFit="0" vertical="center" wrapText="1"/>
    </xf>
    <xf borderId="17" fillId="3" fontId="9" numFmtId="0" xfId="0" applyAlignment="1" applyBorder="1" applyFill="1" applyFont="1">
      <alignment horizontal="center" shrinkToFit="0" vertical="center" wrapText="1"/>
    </xf>
    <xf borderId="15" fillId="3" fontId="9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7" fillId="4" fontId="11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8" fontId="9" numFmtId="0" xfId="0" applyAlignment="1" applyBorder="1" applyFill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readingOrder="0" shrinkToFit="0" vertical="center" wrapText="1"/>
    </xf>
    <xf borderId="6" fillId="5" fontId="8" numFmtId="0" xfId="0" applyAlignment="1" applyBorder="1" applyFill="1" applyFont="1">
      <alignment shrinkToFit="0" wrapText="1"/>
    </xf>
    <xf borderId="1" fillId="5" fontId="8" numFmtId="0" xfId="0" applyAlignment="1" applyBorder="1" applyFill="1" applyFont="1">
      <alignment shrinkToFit="0" wrapText="1"/>
    </xf>
    <xf borderId="16" fillId="5" fontId="3" numFmtId="0" xfId="0" applyAlignment="1" applyBorder="1" applyFill="1" applyFont="1">
      <alignment shrinkToFit="0" wrapText="1"/>
    </xf>
    <xf borderId="17" fillId="5" fontId="3" numFmtId="0" xfId="0" applyAlignment="1" applyBorder="1" applyFill="1" applyFont="1">
      <alignment shrinkToFit="0" wrapText="1"/>
    </xf>
    <xf borderId="3" fillId="5" fontId="10" numFmtId="0" xfId="0" applyAlignment="1" applyBorder="1" applyFill="1" applyFont="1">
      <alignment horizontal="left" readingOrder="0" shrinkToFit="0" vertical="top" wrapText="1"/>
    </xf>
    <xf borderId="4" fillId="5" fontId="8" numFmtId="0" xfId="0" applyAlignment="1" applyBorder="1" applyFill="1" applyFont="1">
      <alignment shrinkToFit="0" wrapText="1"/>
    </xf>
    <xf borderId="5" fillId="5" fontId="8" numFmtId="0" xfId="0" applyAlignment="1" applyBorder="1" applyFill="1" applyFont="1">
      <alignment shrinkToFit="0" wrapText="1"/>
    </xf>
    <xf borderId="3" fillId="3" fontId="3" numFmtId="0" xfId="0" applyAlignment="1" applyBorder="1" applyFill="1" applyFon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4" fillId="3" fontId="15" numFmtId="0" xfId="0" applyAlignment="1" applyBorder="1" applyFill="1" applyFont="1">
      <alignment horizontal="center" readingOrder="0" shrinkToFit="0" vertical="center" wrapText="0"/>
    </xf>
    <xf borderId="4" fillId="3" fontId="3" numFmtId="0" xfId="0" applyAlignment="1" applyBorder="1" applyFill="1" applyFont="1">
      <alignment readingOrder="0" shrinkToFit="0" vertical="bottom" wrapText="0"/>
    </xf>
    <xf borderId="4" fillId="3" fontId="15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ill="1" applyFont="1">
      <alignment shrinkToFit="0" vertical="bottom" wrapText="0"/>
    </xf>
    <xf borderId="2" fillId="5" fontId="8" numFmtId="0" xfId="0" applyAlignment="1" applyBorder="1" applyFill="1" applyFont="1">
      <alignment shrinkToFit="0" wrapText="1"/>
    </xf>
    <xf borderId="8" fillId="3" fontId="3" numFmtId="0" xfId="0" applyAlignment="1" applyBorder="1" applyFill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9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readingOrder="0"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7" fillId="5" fontId="8" numFmtId="0" xfId="0" applyAlignment="1" applyBorder="1" applyFill="1" applyFont="1">
      <alignment shrinkToFit="0" wrapText="1"/>
    </xf>
    <xf borderId="6" fillId="3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7" fillId="3" fontId="3" numFmtId="0" xfId="0" applyAlignment="1" applyBorder="1" applyFill="1" applyFont="1">
      <alignment shrinkToFit="0" vertical="bottom" wrapText="0"/>
    </xf>
    <xf borderId="4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.0"/>
    <col customWidth="1" min="2" max="2" width="2.88"/>
    <col customWidth="1" min="3" max="3" width="16.38"/>
    <col customWidth="1" min="4" max="4" width="12.38"/>
    <col customWidth="1" min="5" max="5" width="9.63"/>
    <col customWidth="1" min="6" max="44" width="6.75"/>
    <col customWidth="1" min="45" max="45" width="7.0"/>
    <col customWidth="1" min="46" max="46" width="9.5"/>
    <col customWidth="1" min="47" max="58" width="8.13"/>
  </cols>
  <sheetData>
    <row r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ht="18.0" customHeight="1">
      <c r="A2" s="5"/>
      <c r="B2" s="6" t="s">
        <v>0</v>
      </c>
      <c r="C2" s="7"/>
      <c r="D2" s="7"/>
      <c r="E2" s="8"/>
      <c r="F2" s="9">
        <v>2026.0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2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>
      <c r="A3" s="5"/>
      <c r="B3" s="13"/>
      <c r="E3" s="14"/>
      <c r="F3" s="15">
        <v>46279.0</v>
      </c>
      <c r="G3" s="16">
        <f t="shared" ref="G3:J3" si="1">F3+1</f>
        <v>46280</v>
      </c>
      <c r="H3" s="16">
        <f t="shared" si="1"/>
        <v>46281</v>
      </c>
      <c r="I3" s="16">
        <f t="shared" si="1"/>
        <v>46282</v>
      </c>
      <c r="J3" s="17">
        <f t="shared" si="1"/>
        <v>46283</v>
      </c>
      <c r="K3" s="18">
        <f>J3+3</f>
        <v>46286</v>
      </c>
      <c r="L3" s="16">
        <f t="shared" ref="L3:O3" si="2">K3+1</f>
        <v>46287</v>
      </c>
      <c r="M3" s="16">
        <f t="shared" si="2"/>
        <v>46288</v>
      </c>
      <c r="N3" s="16">
        <f t="shared" si="2"/>
        <v>46289</v>
      </c>
      <c r="O3" s="17">
        <f t="shared" si="2"/>
        <v>46290</v>
      </c>
      <c r="P3" s="18">
        <f>O3+3</f>
        <v>46293</v>
      </c>
      <c r="Q3" s="16">
        <f t="shared" ref="Q3:T3" si="3">P3+1</f>
        <v>46294</v>
      </c>
      <c r="R3" s="16">
        <f t="shared" si="3"/>
        <v>46295</v>
      </c>
      <c r="S3" s="16">
        <f t="shared" si="3"/>
        <v>46296</v>
      </c>
      <c r="T3" s="17">
        <f t="shared" si="3"/>
        <v>46297</v>
      </c>
      <c r="U3" s="18">
        <f>T3+3</f>
        <v>46300</v>
      </c>
      <c r="V3" s="16">
        <f t="shared" ref="V3:Y3" si="4">U3+1</f>
        <v>46301</v>
      </c>
      <c r="W3" s="16">
        <f t="shared" si="4"/>
        <v>46302</v>
      </c>
      <c r="X3" s="16">
        <f t="shared" si="4"/>
        <v>46303</v>
      </c>
      <c r="Y3" s="17">
        <f t="shared" si="4"/>
        <v>46304</v>
      </c>
      <c r="Z3" s="18">
        <f>Y3+3</f>
        <v>46307</v>
      </c>
      <c r="AA3" s="16">
        <f t="shared" ref="AA3:AD3" si="5">Z3+1</f>
        <v>46308</v>
      </c>
      <c r="AB3" s="16">
        <f t="shared" si="5"/>
        <v>46309</v>
      </c>
      <c r="AC3" s="16">
        <f t="shared" si="5"/>
        <v>46310</v>
      </c>
      <c r="AD3" s="17">
        <f t="shared" si="5"/>
        <v>46311</v>
      </c>
      <c r="AE3" s="18">
        <f>AD3+3</f>
        <v>46314</v>
      </c>
      <c r="AF3" s="16">
        <f t="shared" ref="AF3:AI3" si="6">AE3+1</f>
        <v>46315</v>
      </c>
      <c r="AG3" s="16">
        <f t="shared" si="6"/>
        <v>46316</v>
      </c>
      <c r="AH3" s="16">
        <f t="shared" si="6"/>
        <v>46317</v>
      </c>
      <c r="AI3" s="17">
        <f t="shared" si="6"/>
        <v>46318</v>
      </c>
      <c r="AJ3" s="18">
        <f>AI3+3</f>
        <v>46321</v>
      </c>
      <c r="AK3" s="16">
        <f t="shared" ref="AK3:AN3" si="7">AJ3+1</f>
        <v>46322</v>
      </c>
      <c r="AL3" s="16">
        <f t="shared" si="7"/>
        <v>46323</v>
      </c>
      <c r="AM3" s="16">
        <f t="shared" si="7"/>
        <v>46324</v>
      </c>
      <c r="AN3" s="17">
        <f t="shared" si="7"/>
        <v>46325</v>
      </c>
      <c r="AO3" s="18">
        <f>AN3+3</f>
        <v>46328</v>
      </c>
      <c r="AP3" s="16">
        <f t="shared" ref="AP3:AS3" si="8">AO3+1</f>
        <v>46329</v>
      </c>
      <c r="AQ3" s="16">
        <f t="shared" si="8"/>
        <v>46330</v>
      </c>
      <c r="AR3" s="16">
        <f t="shared" si="8"/>
        <v>46331</v>
      </c>
      <c r="AS3" s="19">
        <f t="shared" si="8"/>
        <v>46332</v>
      </c>
      <c r="AT3" s="18">
        <f>AS3+3</f>
        <v>46335</v>
      </c>
      <c r="AU3" s="16">
        <f t="shared" ref="AU3:AX3" si="9">AT3+1</f>
        <v>46336</v>
      </c>
      <c r="AV3" s="16">
        <f t="shared" si="9"/>
        <v>46337</v>
      </c>
      <c r="AW3" s="16">
        <f t="shared" si="9"/>
        <v>46338</v>
      </c>
      <c r="AX3" s="19">
        <f t="shared" si="9"/>
        <v>46339</v>
      </c>
      <c r="AY3" s="18">
        <f>AX3+3</f>
        <v>46342</v>
      </c>
      <c r="AZ3" s="16">
        <f t="shared" ref="AZ3:BC3" si="10">AY3+1</f>
        <v>46343</v>
      </c>
      <c r="BA3" s="16">
        <f t="shared" si="10"/>
        <v>46344</v>
      </c>
      <c r="BB3" s="16">
        <f t="shared" si="10"/>
        <v>46345</v>
      </c>
      <c r="BC3" s="19">
        <f t="shared" si="10"/>
        <v>46346</v>
      </c>
      <c r="BD3" s="18">
        <f>BC3+3</f>
        <v>46349</v>
      </c>
      <c r="BE3" s="4"/>
      <c r="BF3" s="4"/>
    </row>
    <row r="4">
      <c r="A4" s="5"/>
      <c r="B4" s="20" t="s">
        <v>1</v>
      </c>
      <c r="D4" s="21" t="s">
        <v>2</v>
      </c>
      <c r="E4" s="22" t="s">
        <v>3</v>
      </c>
      <c r="F4" s="23" t="s">
        <v>4</v>
      </c>
      <c r="G4" s="24" t="s">
        <v>5</v>
      </c>
      <c r="H4" s="24" t="s">
        <v>6</v>
      </c>
      <c r="I4" s="24" t="s">
        <v>7</v>
      </c>
      <c r="J4" s="25" t="s">
        <v>8</v>
      </c>
      <c r="K4" s="26" t="s">
        <v>4</v>
      </c>
      <c r="L4" s="24" t="s">
        <v>5</v>
      </c>
      <c r="M4" s="24" t="s">
        <v>6</v>
      </c>
      <c r="N4" s="24" t="s">
        <v>7</v>
      </c>
      <c r="O4" s="25" t="s">
        <v>8</v>
      </c>
      <c r="P4" s="26" t="s">
        <v>4</v>
      </c>
      <c r="Q4" s="24" t="s">
        <v>5</v>
      </c>
      <c r="R4" s="24" t="s">
        <v>6</v>
      </c>
      <c r="S4" s="24" t="s">
        <v>7</v>
      </c>
      <c r="T4" s="25" t="s">
        <v>8</v>
      </c>
      <c r="U4" s="26" t="s">
        <v>4</v>
      </c>
      <c r="V4" s="24" t="s">
        <v>5</v>
      </c>
      <c r="W4" s="24" t="s">
        <v>6</v>
      </c>
      <c r="X4" s="24" t="s">
        <v>7</v>
      </c>
      <c r="Y4" s="25" t="s">
        <v>8</v>
      </c>
      <c r="Z4" s="26" t="s">
        <v>4</v>
      </c>
      <c r="AA4" s="24" t="s">
        <v>5</v>
      </c>
      <c r="AB4" s="24" t="s">
        <v>6</v>
      </c>
      <c r="AC4" s="24" t="s">
        <v>7</v>
      </c>
      <c r="AD4" s="25" t="s">
        <v>8</v>
      </c>
      <c r="AE4" s="26" t="s">
        <v>4</v>
      </c>
      <c r="AF4" s="24" t="s">
        <v>5</v>
      </c>
      <c r="AG4" s="24" t="s">
        <v>6</v>
      </c>
      <c r="AH4" s="24" t="s">
        <v>7</v>
      </c>
      <c r="AI4" s="25" t="s">
        <v>8</v>
      </c>
      <c r="AJ4" s="26" t="s">
        <v>4</v>
      </c>
      <c r="AK4" s="24" t="s">
        <v>5</v>
      </c>
      <c r="AL4" s="24" t="s">
        <v>6</v>
      </c>
      <c r="AM4" s="24" t="s">
        <v>7</v>
      </c>
      <c r="AN4" s="25" t="s">
        <v>8</v>
      </c>
      <c r="AO4" s="26" t="s">
        <v>4</v>
      </c>
      <c r="AP4" s="24" t="s">
        <v>5</v>
      </c>
      <c r="AQ4" s="24" t="s">
        <v>6</v>
      </c>
      <c r="AR4" s="24" t="s">
        <v>7</v>
      </c>
      <c r="AS4" s="27" t="s">
        <v>8</v>
      </c>
      <c r="AT4" s="26" t="s">
        <v>4</v>
      </c>
      <c r="AU4" s="24" t="s">
        <v>5</v>
      </c>
      <c r="AV4" s="24" t="s">
        <v>6</v>
      </c>
      <c r="AW4" s="24" t="s">
        <v>7</v>
      </c>
      <c r="AX4" s="27" t="s">
        <v>8</v>
      </c>
      <c r="AY4" s="26" t="s">
        <v>4</v>
      </c>
      <c r="AZ4" s="24" t="s">
        <v>5</v>
      </c>
      <c r="BA4" s="24" t="s">
        <v>6</v>
      </c>
      <c r="BB4" s="24" t="s">
        <v>7</v>
      </c>
      <c r="BC4" s="27" t="s">
        <v>8</v>
      </c>
      <c r="BD4" s="26" t="s">
        <v>4</v>
      </c>
      <c r="BE4" s="4"/>
      <c r="BF4" s="4"/>
    </row>
    <row r="5">
      <c r="A5" s="5"/>
      <c r="B5" s="28"/>
      <c r="C5" s="10"/>
      <c r="D5" s="10"/>
      <c r="E5" s="11"/>
      <c r="F5" s="29"/>
      <c r="G5" s="30"/>
      <c r="H5" s="30"/>
      <c r="I5" s="30"/>
      <c r="J5" s="31"/>
      <c r="K5" s="32"/>
      <c r="L5" s="30"/>
      <c r="M5" s="30"/>
      <c r="N5" s="30"/>
      <c r="O5" s="31"/>
      <c r="P5" s="32"/>
      <c r="Q5" s="30"/>
      <c r="R5" s="30"/>
      <c r="S5" s="30"/>
      <c r="T5" s="31"/>
      <c r="U5" s="32"/>
      <c r="V5" s="30"/>
      <c r="W5" s="30"/>
      <c r="X5" s="30"/>
      <c r="Y5" s="31"/>
      <c r="Z5" s="32"/>
      <c r="AA5" s="30"/>
      <c r="AB5" s="30"/>
      <c r="AC5" s="30"/>
      <c r="AD5" s="31"/>
      <c r="AE5" s="32"/>
      <c r="AF5" s="30"/>
      <c r="AG5" s="30"/>
      <c r="AH5" s="30"/>
      <c r="AI5" s="31"/>
      <c r="AJ5" s="32"/>
      <c r="AK5" s="30"/>
      <c r="AL5" s="30"/>
      <c r="AM5" s="30"/>
      <c r="AN5" s="31"/>
      <c r="AO5" s="32"/>
      <c r="AP5" s="30"/>
      <c r="AQ5" s="30"/>
      <c r="AR5" s="30"/>
      <c r="AS5" s="33"/>
      <c r="AT5" s="32"/>
      <c r="AU5" s="30"/>
      <c r="AV5" s="30"/>
      <c r="AW5" s="30"/>
      <c r="AX5" s="33"/>
      <c r="AY5" s="32"/>
      <c r="AZ5" s="30"/>
      <c r="BA5" s="30"/>
      <c r="BB5" s="30"/>
      <c r="BC5" s="33"/>
      <c r="BD5" s="32"/>
      <c r="BE5" s="4"/>
      <c r="BF5" s="4"/>
    </row>
    <row r="6">
      <c r="A6" s="5"/>
      <c r="B6" s="34" t="s">
        <v>9</v>
      </c>
      <c r="C6" s="7"/>
      <c r="D6" s="7"/>
      <c r="E6" s="35" t="s">
        <v>10</v>
      </c>
      <c r="F6" s="36"/>
      <c r="G6" s="37"/>
      <c r="H6" s="38"/>
      <c r="I6" s="39"/>
      <c r="J6" s="40"/>
      <c r="K6" s="41"/>
      <c r="L6" s="42"/>
      <c r="M6" s="42"/>
      <c r="N6" s="42"/>
      <c r="O6" s="43"/>
      <c r="P6" s="41"/>
      <c r="Q6" s="42"/>
      <c r="R6" s="42"/>
      <c r="S6" s="42"/>
      <c r="T6" s="43"/>
      <c r="U6" s="41"/>
      <c r="V6" s="42"/>
      <c r="W6" s="42"/>
      <c r="X6" s="42"/>
      <c r="Y6" s="43"/>
      <c r="Z6" s="41"/>
      <c r="AA6" s="42"/>
      <c r="AB6" s="42"/>
      <c r="AC6" s="42"/>
      <c r="AD6" s="43"/>
      <c r="AE6" s="41"/>
      <c r="AF6" s="42"/>
      <c r="AG6" s="42"/>
      <c r="AH6" s="42"/>
      <c r="AI6" s="43"/>
      <c r="AJ6" s="41"/>
      <c r="AK6" s="42"/>
      <c r="AL6" s="42"/>
      <c r="AM6" s="42"/>
      <c r="AN6" s="43"/>
      <c r="AO6" s="41"/>
      <c r="AP6" s="42"/>
      <c r="AQ6" s="42"/>
      <c r="AR6" s="42"/>
      <c r="AS6" s="43"/>
      <c r="AT6" s="41"/>
      <c r="AU6" s="42"/>
      <c r="AV6" s="42"/>
      <c r="AW6" s="42"/>
      <c r="AX6" s="43"/>
      <c r="AY6" s="41"/>
      <c r="AZ6" s="42"/>
      <c r="BA6" s="42"/>
      <c r="BB6" s="42"/>
      <c r="BC6" s="43"/>
      <c r="BD6" s="41"/>
      <c r="BE6" s="4"/>
      <c r="BF6" s="4"/>
    </row>
    <row r="7">
      <c r="A7" s="5"/>
      <c r="B7" s="44"/>
      <c r="C7" s="45" t="s">
        <v>11</v>
      </c>
      <c r="D7" s="45" t="s">
        <v>12</v>
      </c>
      <c r="E7" s="46" t="s">
        <v>13</v>
      </c>
      <c r="F7" s="47"/>
      <c r="G7" s="48"/>
      <c r="H7" s="49"/>
      <c r="I7" s="50"/>
      <c r="J7" s="51"/>
      <c r="K7" s="52"/>
      <c r="L7" s="53"/>
      <c r="M7" s="53"/>
      <c r="N7" s="53"/>
      <c r="O7" s="54"/>
      <c r="P7" s="52"/>
      <c r="Q7" s="53"/>
      <c r="R7" s="53"/>
      <c r="S7" s="53"/>
      <c r="T7" s="54"/>
      <c r="U7" s="52"/>
      <c r="V7" s="53"/>
      <c r="W7" s="53"/>
      <c r="X7" s="53"/>
      <c r="Y7" s="54"/>
      <c r="Z7" s="52"/>
      <c r="AA7" s="53"/>
      <c r="AB7" s="53"/>
      <c r="AC7" s="53"/>
      <c r="AD7" s="54"/>
      <c r="AE7" s="52"/>
      <c r="AF7" s="53"/>
      <c r="AG7" s="53"/>
      <c r="AH7" s="53"/>
      <c r="AI7" s="54"/>
      <c r="AJ7" s="52"/>
      <c r="AK7" s="53"/>
      <c r="AL7" s="53"/>
      <c r="AM7" s="53"/>
      <c r="AN7" s="54"/>
      <c r="AO7" s="52"/>
      <c r="AP7" s="53"/>
      <c r="AQ7" s="53"/>
      <c r="AR7" s="53"/>
      <c r="AS7" s="54"/>
      <c r="AT7" s="52"/>
      <c r="AU7" s="53"/>
      <c r="AV7" s="53"/>
      <c r="AW7" s="53"/>
      <c r="AX7" s="54"/>
      <c r="AY7" s="52"/>
      <c r="AZ7" s="53"/>
      <c r="BA7" s="53"/>
      <c r="BB7" s="53"/>
      <c r="BC7" s="54"/>
      <c r="BD7" s="52"/>
      <c r="BE7" s="4"/>
      <c r="BF7" s="4"/>
    </row>
    <row r="8">
      <c r="A8" s="5"/>
      <c r="B8" s="44"/>
      <c r="C8" s="45" t="s">
        <v>14</v>
      </c>
      <c r="D8" s="45" t="s">
        <v>15</v>
      </c>
      <c r="E8" s="46" t="s">
        <v>10</v>
      </c>
      <c r="F8" s="55"/>
      <c r="G8" s="56"/>
      <c r="H8" s="57"/>
      <c r="I8" s="56"/>
      <c r="J8" s="58"/>
      <c r="K8" s="59"/>
      <c r="L8" s="60"/>
      <c r="M8" s="60"/>
      <c r="N8" s="60"/>
      <c r="O8" s="61"/>
      <c r="P8" s="59"/>
      <c r="Q8" s="60"/>
      <c r="R8" s="60"/>
      <c r="S8" s="60"/>
      <c r="T8" s="61"/>
      <c r="U8" s="59"/>
      <c r="V8" s="60"/>
      <c r="W8" s="60"/>
      <c r="X8" s="60"/>
      <c r="Y8" s="61"/>
      <c r="Z8" s="59"/>
      <c r="AA8" s="60"/>
      <c r="AB8" s="60"/>
      <c r="AC8" s="60"/>
      <c r="AD8" s="61"/>
      <c r="AE8" s="59"/>
      <c r="AF8" s="60"/>
      <c r="AG8" s="60"/>
      <c r="AH8" s="60"/>
      <c r="AI8" s="61"/>
      <c r="AJ8" s="59"/>
      <c r="AK8" s="60"/>
      <c r="AL8" s="60"/>
      <c r="AM8" s="60"/>
      <c r="AN8" s="61"/>
      <c r="AO8" s="59"/>
      <c r="AP8" s="60"/>
      <c r="AQ8" s="60"/>
      <c r="AR8" s="60"/>
      <c r="AS8" s="61"/>
      <c r="AT8" s="59"/>
      <c r="AU8" s="60"/>
      <c r="AV8" s="60"/>
      <c r="AW8" s="60"/>
      <c r="AX8" s="61"/>
      <c r="AY8" s="59"/>
      <c r="AZ8" s="60"/>
      <c r="BA8" s="60"/>
      <c r="BB8" s="60"/>
      <c r="BC8" s="61"/>
      <c r="BD8" s="59"/>
      <c r="BE8" s="4"/>
      <c r="BF8" s="4"/>
    </row>
    <row r="9">
      <c r="A9" s="5"/>
      <c r="B9" s="44"/>
      <c r="C9" s="45" t="s">
        <v>16</v>
      </c>
      <c r="D9" s="45" t="s">
        <v>15</v>
      </c>
      <c r="E9" s="46" t="s">
        <v>17</v>
      </c>
      <c r="F9" s="62"/>
      <c r="G9" s="63"/>
      <c r="H9" s="64"/>
      <c r="I9" s="65"/>
      <c r="J9" s="66"/>
      <c r="K9" s="67"/>
      <c r="L9" s="68"/>
      <c r="M9" s="68"/>
      <c r="N9" s="68"/>
      <c r="O9" s="69"/>
      <c r="P9" s="67"/>
      <c r="Q9" s="68"/>
      <c r="R9" s="68"/>
      <c r="S9" s="68"/>
      <c r="T9" s="69"/>
      <c r="U9" s="67"/>
      <c r="V9" s="68"/>
      <c r="W9" s="68"/>
      <c r="X9" s="68"/>
      <c r="Y9" s="69"/>
      <c r="Z9" s="67"/>
      <c r="AA9" s="68"/>
      <c r="AB9" s="68"/>
      <c r="AC9" s="68"/>
      <c r="AD9" s="69"/>
      <c r="AE9" s="67"/>
      <c r="AF9" s="68"/>
      <c r="AG9" s="68"/>
      <c r="AH9" s="68"/>
      <c r="AI9" s="69"/>
      <c r="AJ9" s="67"/>
      <c r="AK9" s="68"/>
      <c r="AL9" s="68"/>
      <c r="AM9" s="68"/>
      <c r="AN9" s="69"/>
      <c r="AO9" s="67"/>
      <c r="AP9" s="68"/>
      <c r="AQ9" s="68"/>
      <c r="AR9" s="68"/>
      <c r="AS9" s="69"/>
      <c r="AT9" s="67"/>
      <c r="AU9" s="68"/>
      <c r="AV9" s="68"/>
      <c r="AW9" s="68"/>
      <c r="AX9" s="69"/>
      <c r="AY9" s="67"/>
      <c r="AZ9" s="68"/>
      <c r="BA9" s="68"/>
      <c r="BB9" s="68"/>
      <c r="BC9" s="69"/>
      <c r="BD9" s="67"/>
      <c r="BE9" s="4"/>
      <c r="BF9" s="4"/>
    </row>
    <row r="10">
      <c r="A10" s="5"/>
      <c r="B10" s="44"/>
      <c r="C10" s="70"/>
      <c r="D10" s="70"/>
      <c r="E10" s="71"/>
      <c r="F10" s="72"/>
      <c r="G10" s="72"/>
      <c r="H10" s="72"/>
      <c r="I10" s="72"/>
      <c r="J10" s="72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4"/>
      <c r="AT10" s="73"/>
      <c r="AU10" s="73"/>
      <c r="AV10" s="73"/>
      <c r="AW10" s="73"/>
      <c r="AX10" s="74"/>
      <c r="AY10" s="73"/>
      <c r="AZ10" s="73"/>
      <c r="BA10" s="73"/>
      <c r="BB10" s="73"/>
      <c r="BC10" s="74"/>
      <c r="BD10" s="73"/>
      <c r="BE10" s="4"/>
      <c r="BF10" s="4"/>
    </row>
    <row r="11">
      <c r="A11" s="5"/>
      <c r="B11" s="75" t="s">
        <v>18</v>
      </c>
      <c r="E11" s="76" t="s">
        <v>10</v>
      </c>
      <c r="F11" s="77"/>
      <c r="G11" s="37"/>
      <c r="H11" s="37"/>
      <c r="I11" s="37"/>
      <c r="J11" s="78"/>
      <c r="K11" s="79"/>
      <c r="L11" s="80"/>
      <c r="M11" s="81"/>
      <c r="N11" s="81"/>
      <c r="O11" s="82"/>
      <c r="P11" s="41"/>
      <c r="Q11" s="42"/>
      <c r="R11" s="42"/>
      <c r="S11" s="42"/>
      <c r="T11" s="43"/>
      <c r="U11" s="41"/>
      <c r="V11" s="42"/>
      <c r="W11" s="42"/>
      <c r="X11" s="42"/>
      <c r="Y11" s="43"/>
      <c r="Z11" s="41"/>
      <c r="AA11" s="42"/>
      <c r="AB11" s="42"/>
      <c r="AC11" s="42"/>
      <c r="AD11" s="43"/>
      <c r="AE11" s="41"/>
      <c r="AF11" s="42"/>
      <c r="AG11" s="42"/>
      <c r="AH11" s="42"/>
      <c r="AI11" s="43"/>
      <c r="AJ11" s="41"/>
      <c r="AK11" s="42"/>
      <c r="AL11" s="42"/>
      <c r="AM11" s="42"/>
      <c r="AN11" s="43"/>
      <c r="AO11" s="41"/>
      <c r="AP11" s="42"/>
      <c r="AQ11" s="42"/>
      <c r="AR11" s="42"/>
      <c r="AS11" s="43"/>
      <c r="AT11" s="41"/>
      <c r="AU11" s="42"/>
      <c r="AV11" s="42"/>
      <c r="AW11" s="42"/>
      <c r="AX11" s="43"/>
      <c r="AY11" s="41"/>
      <c r="AZ11" s="42"/>
      <c r="BA11" s="42"/>
      <c r="BB11" s="42"/>
      <c r="BC11" s="43"/>
      <c r="BD11" s="41"/>
      <c r="BE11" s="4"/>
      <c r="BF11" s="4"/>
    </row>
    <row r="12">
      <c r="A12" s="5"/>
      <c r="B12" s="44"/>
      <c r="C12" s="45" t="s">
        <v>19</v>
      </c>
      <c r="D12" s="45" t="s">
        <v>12</v>
      </c>
      <c r="E12" s="83" t="s">
        <v>10</v>
      </c>
      <c r="F12" s="47"/>
      <c r="G12" s="48"/>
      <c r="K12" s="52"/>
      <c r="L12" s="53"/>
      <c r="M12" s="49"/>
      <c r="N12" s="49"/>
      <c r="O12" s="51"/>
      <c r="P12" s="52"/>
      <c r="Q12" s="53"/>
      <c r="R12" s="53"/>
      <c r="S12" s="53"/>
      <c r="T12" s="54"/>
      <c r="U12" s="52"/>
      <c r="V12" s="53"/>
      <c r="W12" s="53"/>
      <c r="X12" s="53"/>
      <c r="Y12" s="54"/>
      <c r="Z12" s="52"/>
      <c r="AA12" s="53"/>
      <c r="AB12" s="53"/>
      <c r="AC12" s="53"/>
      <c r="AD12" s="54"/>
      <c r="AE12" s="52"/>
      <c r="AF12" s="53"/>
      <c r="AG12" s="53"/>
      <c r="AH12" s="53"/>
      <c r="AI12" s="54"/>
      <c r="AJ12" s="52"/>
      <c r="AK12" s="53"/>
      <c r="AL12" s="53"/>
      <c r="AM12" s="53"/>
      <c r="AN12" s="54"/>
      <c r="AO12" s="52"/>
      <c r="AP12" s="53"/>
      <c r="AQ12" s="53"/>
      <c r="AR12" s="53"/>
      <c r="AS12" s="54"/>
      <c r="AT12" s="52"/>
      <c r="AU12" s="53"/>
      <c r="AV12" s="53"/>
      <c r="AW12" s="53"/>
      <c r="AX12" s="54"/>
      <c r="AY12" s="52"/>
      <c r="AZ12" s="53"/>
      <c r="BA12" s="53"/>
      <c r="BB12" s="53"/>
      <c r="BC12" s="54"/>
      <c r="BD12" s="52"/>
      <c r="BE12" s="4"/>
      <c r="BF12" s="4"/>
    </row>
    <row r="13">
      <c r="A13" s="5"/>
      <c r="B13" s="44"/>
      <c r="C13" s="45" t="s">
        <v>20</v>
      </c>
      <c r="D13" s="45" t="s">
        <v>15</v>
      </c>
      <c r="E13" s="46" t="s">
        <v>17</v>
      </c>
      <c r="F13" s="84"/>
      <c r="G13" s="56"/>
      <c r="H13" s="56"/>
      <c r="I13" s="56"/>
      <c r="K13" s="59"/>
      <c r="L13" s="60"/>
      <c r="M13" s="60"/>
      <c r="N13" s="60"/>
      <c r="O13" s="58"/>
      <c r="P13" s="59"/>
      <c r="Q13" s="60"/>
      <c r="R13" s="60"/>
      <c r="S13" s="60"/>
      <c r="T13" s="61"/>
      <c r="U13" s="59"/>
      <c r="V13" s="60"/>
      <c r="W13" s="60"/>
      <c r="X13" s="60"/>
      <c r="Y13" s="61"/>
      <c r="Z13" s="59"/>
      <c r="AA13" s="60"/>
      <c r="AB13" s="60"/>
      <c r="AC13" s="60"/>
      <c r="AD13" s="61"/>
      <c r="AE13" s="59"/>
      <c r="AF13" s="60"/>
      <c r="AG13" s="60"/>
      <c r="AH13" s="60"/>
      <c r="AI13" s="61"/>
      <c r="AJ13" s="59"/>
      <c r="AK13" s="60"/>
      <c r="AL13" s="60"/>
      <c r="AM13" s="60"/>
      <c r="AN13" s="61"/>
      <c r="AO13" s="59"/>
      <c r="AP13" s="60"/>
      <c r="AQ13" s="60"/>
      <c r="AR13" s="60"/>
      <c r="AS13" s="61"/>
      <c r="AT13" s="59"/>
      <c r="AU13" s="60"/>
      <c r="AV13" s="60"/>
      <c r="AW13" s="60"/>
      <c r="AX13" s="61"/>
      <c r="AY13" s="59"/>
      <c r="AZ13" s="60"/>
      <c r="BA13" s="60"/>
      <c r="BB13" s="60"/>
      <c r="BC13" s="61"/>
      <c r="BD13" s="59"/>
      <c r="BE13" s="4"/>
      <c r="BF13" s="4"/>
    </row>
    <row r="14">
      <c r="A14" s="5"/>
      <c r="B14" s="44"/>
      <c r="C14" s="70"/>
      <c r="D14" s="70"/>
      <c r="E14" s="71"/>
      <c r="F14" s="72"/>
      <c r="G14" s="72"/>
      <c r="H14" s="72"/>
      <c r="I14" s="72"/>
      <c r="J14" s="72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4"/>
      <c r="AT14" s="73"/>
      <c r="AU14" s="73"/>
      <c r="AV14" s="73"/>
      <c r="AW14" s="73"/>
      <c r="AX14" s="74"/>
      <c r="AY14" s="73"/>
      <c r="AZ14" s="73"/>
      <c r="BA14" s="73"/>
      <c r="BB14" s="73"/>
      <c r="BC14" s="74"/>
      <c r="BD14" s="73"/>
      <c r="BE14" s="4"/>
      <c r="BF14" s="4"/>
    </row>
    <row r="15">
      <c r="A15" s="5"/>
      <c r="B15" s="75" t="s">
        <v>21</v>
      </c>
      <c r="E15" s="85" t="s">
        <v>22</v>
      </c>
      <c r="F15" s="77"/>
      <c r="G15" s="37"/>
      <c r="H15" s="37"/>
      <c r="I15" s="37"/>
      <c r="J15" s="78"/>
      <c r="K15" s="41"/>
      <c r="L15" s="42"/>
      <c r="M15" s="42"/>
      <c r="N15" s="42"/>
      <c r="O15" s="86"/>
      <c r="P15" s="87"/>
      <c r="Q15" s="81"/>
      <c r="R15" s="81"/>
      <c r="S15" s="81"/>
      <c r="T15" s="82"/>
      <c r="U15" s="79"/>
      <c r="V15" s="42"/>
      <c r="W15" s="42"/>
      <c r="X15" s="42"/>
      <c r="Y15" s="43"/>
      <c r="Z15" s="41"/>
      <c r="AA15" s="42"/>
      <c r="AB15" s="42"/>
      <c r="AC15" s="42"/>
      <c r="AD15" s="43"/>
      <c r="AE15" s="41"/>
      <c r="AF15" s="42"/>
      <c r="AG15" s="42"/>
      <c r="AH15" s="42"/>
      <c r="AI15" s="43"/>
      <c r="AJ15" s="41"/>
      <c r="AK15" s="42"/>
      <c r="AL15" s="42"/>
      <c r="AM15" s="42"/>
      <c r="AN15" s="43"/>
      <c r="AO15" s="41"/>
      <c r="AP15" s="42"/>
      <c r="AQ15" s="42"/>
      <c r="AR15" s="42"/>
      <c r="AS15" s="43"/>
      <c r="AT15" s="41"/>
      <c r="AU15" s="42"/>
      <c r="AV15" s="42"/>
      <c r="AW15" s="42"/>
      <c r="AX15" s="43"/>
      <c r="AY15" s="41"/>
      <c r="AZ15" s="42"/>
      <c r="BA15" s="42"/>
      <c r="BB15" s="42"/>
      <c r="BC15" s="43"/>
      <c r="BD15" s="41"/>
      <c r="BE15" s="4"/>
      <c r="BF15" s="4"/>
    </row>
    <row r="16">
      <c r="A16" s="5"/>
      <c r="B16" s="44"/>
      <c r="C16" s="45" t="s">
        <v>23</v>
      </c>
      <c r="D16" s="45" t="s">
        <v>12</v>
      </c>
      <c r="E16" s="83" t="s">
        <v>10</v>
      </c>
      <c r="F16" s="47"/>
      <c r="G16" s="48"/>
      <c r="H16" s="48"/>
      <c r="I16" s="48"/>
      <c r="J16" s="88"/>
      <c r="K16" s="52"/>
      <c r="L16" s="53"/>
      <c r="M16" s="53"/>
      <c r="N16" s="53"/>
      <c r="O16" s="89"/>
      <c r="P16" s="90">
        <v>3.0</v>
      </c>
      <c r="Q16" s="91">
        <v>3.0</v>
      </c>
      <c r="R16" s="91">
        <v>3.0</v>
      </c>
      <c r="S16" s="53"/>
      <c r="T16" s="54"/>
      <c r="U16" s="52"/>
      <c r="V16" s="53"/>
      <c r="W16" s="53"/>
      <c r="X16" s="53"/>
      <c r="Y16" s="54"/>
      <c r="Z16" s="52"/>
      <c r="AA16" s="53"/>
      <c r="AB16" s="53"/>
      <c r="AC16" s="53"/>
      <c r="AD16" s="54"/>
      <c r="AE16" s="52"/>
      <c r="AF16" s="53"/>
      <c r="AG16" s="53"/>
      <c r="AH16" s="53"/>
      <c r="AI16" s="54"/>
      <c r="AJ16" s="52"/>
      <c r="AK16" s="53"/>
      <c r="AL16" s="53"/>
      <c r="AM16" s="53"/>
      <c r="AN16" s="54"/>
      <c r="AO16" s="52"/>
      <c r="AP16" s="53"/>
      <c r="AQ16" s="53"/>
      <c r="AR16" s="53"/>
      <c r="AS16" s="54"/>
      <c r="AT16" s="52"/>
      <c r="AU16" s="53"/>
      <c r="AV16" s="53"/>
      <c r="AW16" s="53"/>
      <c r="AX16" s="54"/>
      <c r="AY16" s="52"/>
      <c r="AZ16" s="53"/>
      <c r="BA16" s="53"/>
      <c r="BB16" s="53"/>
      <c r="BC16" s="54"/>
      <c r="BD16" s="52"/>
      <c r="BE16" s="4"/>
      <c r="BF16" s="4"/>
    </row>
    <row r="17" ht="123.0" customHeight="1">
      <c r="A17" s="5"/>
      <c r="B17" s="44"/>
      <c r="C17" s="45" t="s">
        <v>24</v>
      </c>
      <c r="D17" s="45" t="s">
        <v>15</v>
      </c>
      <c r="E17" s="83" t="s">
        <v>13</v>
      </c>
      <c r="F17" s="84"/>
      <c r="G17" s="56"/>
      <c r="H17" s="56"/>
      <c r="I17" s="56"/>
      <c r="J17" s="92"/>
      <c r="K17" s="59"/>
      <c r="L17" s="60"/>
      <c r="M17" s="60"/>
      <c r="N17" s="60"/>
      <c r="O17" s="61"/>
      <c r="P17" s="93"/>
      <c r="Q17" s="94">
        <v>1.0</v>
      </c>
      <c r="R17" s="95"/>
      <c r="S17" s="96"/>
      <c r="T17" s="97"/>
      <c r="U17" s="59"/>
      <c r="V17" s="60"/>
      <c r="W17" s="60"/>
      <c r="X17" s="60"/>
      <c r="Y17" s="61"/>
      <c r="Z17" s="59"/>
      <c r="AA17" s="60"/>
      <c r="AB17" s="60"/>
      <c r="AC17" s="60"/>
      <c r="AD17" s="61"/>
      <c r="AE17" s="59"/>
      <c r="AF17" s="60"/>
      <c r="AG17" s="60"/>
      <c r="AH17" s="60"/>
      <c r="AI17" s="61"/>
      <c r="AJ17" s="59"/>
      <c r="AK17" s="60"/>
      <c r="AL17" s="60"/>
      <c r="AM17" s="60"/>
      <c r="AN17" s="61"/>
      <c r="AO17" s="59"/>
      <c r="AP17" s="60"/>
      <c r="AQ17" s="60"/>
      <c r="AR17" s="60"/>
      <c r="AS17" s="61"/>
      <c r="AT17" s="59"/>
      <c r="AU17" s="60"/>
      <c r="AV17" s="60"/>
      <c r="AW17" s="60"/>
      <c r="AX17" s="61"/>
      <c r="AY17" s="59"/>
      <c r="AZ17" s="60"/>
      <c r="BA17" s="60"/>
      <c r="BB17" s="60"/>
      <c r="BC17" s="61"/>
      <c r="BD17" s="59"/>
      <c r="BE17" s="4"/>
      <c r="BF17" s="4"/>
    </row>
    <row r="18">
      <c r="A18" s="5"/>
      <c r="B18" s="44"/>
      <c r="C18" s="70"/>
      <c r="D18" s="70"/>
      <c r="E18" s="71"/>
      <c r="F18" s="72"/>
      <c r="G18" s="72"/>
      <c r="H18" s="72"/>
      <c r="I18" s="72"/>
      <c r="J18" s="72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4"/>
      <c r="AT18" s="73"/>
      <c r="AU18" s="73"/>
      <c r="AV18" s="73"/>
      <c r="AW18" s="73"/>
      <c r="AX18" s="74"/>
      <c r="AY18" s="73"/>
      <c r="AZ18" s="73"/>
      <c r="BA18" s="73"/>
      <c r="BB18" s="73"/>
      <c r="BC18" s="74"/>
      <c r="BD18" s="73"/>
      <c r="BE18" s="4"/>
      <c r="BF18" s="4"/>
    </row>
    <row r="19">
      <c r="A19" s="5"/>
      <c r="B19" s="75" t="s">
        <v>25</v>
      </c>
      <c r="E19" s="85" t="s">
        <v>26</v>
      </c>
      <c r="F19" s="77"/>
      <c r="G19" s="37"/>
      <c r="H19" s="37"/>
      <c r="I19" s="37"/>
      <c r="J19" s="78"/>
      <c r="K19" s="41"/>
      <c r="L19" s="42"/>
      <c r="M19" s="42"/>
      <c r="N19" s="42"/>
      <c r="O19" s="43"/>
      <c r="P19" s="41"/>
      <c r="Q19" s="42"/>
      <c r="R19" s="42"/>
      <c r="S19" s="42"/>
      <c r="T19" s="43"/>
      <c r="U19" s="87"/>
      <c r="V19" s="81"/>
      <c r="W19" s="81"/>
      <c r="X19" s="81"/>
      <c r="Y19" s="82"/>
      <c r="Z19" s="87"/>
      <c r="AA19" s="81"/>
      <c r="AB19" s="81"/>
      <c r="AC19" s="81"/>
      <c r="AD19" s="82"/>
      <c r="AE19" s="87"/>
      <c r="AF19" s="81"/>
      <c r="AG19" s="81"/>
      <c r="AH19" s="81"/>
      <c r="AI19" s="82"/>
      <c r="AJ19" s="87"/>
      <c r="AK19" s="81"/>
      <c r="AL19" s="81"/>
      <c r="AM19" s="42"/>
      <c r="AN19" s="43"/>
      <c r="AO19" s="41"/>
      <c r="AP19" s="42"/>
      <c r="AQ19" s="42"/>
      <c r="AR19" s="42"/>
      <c r="AS19" s="43"/>
      <c r="AT19" s="41"/>
      <c r="AU19" s="42"/>
      <c r="AV19" s="42"/>
      <c r="AW19" s="42"/>
      <c r="AX19" s="43"/>
      <c r="AY19" s="41"/>
      <c r="AZ19" s="42"/>
      <c r="BA19" s="42"/>
      <c r="BB19" s="42"/>
      <c r="BC19" s="43"/>
      <c r="BD19" s="41"/>
      <c r="BE19" s="4"/>
      <c r="BF19" s="4"/>
    </row>
    <row r="20">
      <c r="A20" s="5"/>
      <c r="B20" s="44"/>
      <c r="C20" s="45" t="s">
        <v>27</v>
      </c>
      <c r="D20" s="45" t="s">
        <v>12</v>
      </c>
      <c r="E20" s="83" t="s">
        <v>26</v>
      </c>
      <c r="F20" s="47"/>
      <c r="G20" s="48"/>
      <c r="H20" s="48"/>
      <c r="I20" s="48"/>
      <c r="J20" s="88"/>
      <c r="K20" s="52"/>
      <c r="L20" s="53"/>
      <c r="M20" s="53"/>
      <c r="N20" s="53"/>
      <c r="O20" s="54"/>
      <c r="P20" s="52"/>
      <c r="Q20" s="53"/>
      <c r="R20" s="53"/>
      <c r="S20" s="53"/>
      <c r="T20" s="54"/>
      <c r="U20" s="98"/>
      <c r="V20" s="99"/>
      <c r="W20" s="99"/>
      <c r="X20" s="99"/>
      <c r="Y20" s="100"/>
      <c r="Z20" s="101"/>
      <c r="AA20" s="99"/>
      <c r="AB20" s="99"/>
      <c r="AC20" s="99"/>
      <c r="AD20" s="102"/>
      <c r="AE20" s="98"/>
      <c r="AF20" s="99"/>
      <c r="AG20" s="99"/>
      <c r="AH20" s="99"/>
      <c r="AI20" s="102"/>
      <c r="AJ20" s="98"/>
      <c r="AK20" s="99"/>
      <c r="AL20" s="99"/>
      <c r="AM20" s="53"/>
      <c r="AN20" s="54"/>
      <c r="AO20" s="52"/>
      <c r="AP20" s="53"/>
      <c r="AQ20" s="53"/>
      <c r="AR20" s="53"/>
      <c r="AS20" s="54"/>
      <c r="AT20" s="52"/>
      <c r="AU20" s="53"/>
      <c r="AV20" s="53"/>
      <c r="AW20" s="53"/>
      <c r="AX20" s="54"/>
      <c r="AY20" s="52"/>
      <c r="AZ20" s="53"/>
      <c r="BA20" s="53"/>
      <c r="BB20" s="53"/>
      <c r="BC20" s="54"/>
      <c r="BD20" s="52"/>
      <c r="BE20" s="4"/>
      <c r="BF20" s="4"/>
    </row>
    <row r="21">
      <c r="A21" s="5"/>
      <c r="B21" s="44"/>
      <c r="C21" s="45" t="s">
        <v>28</v>
      </c>
      <c r="D21" s="45" t="s">
        <v>15</v>
      </c>
      <c r="E21" s="83" t="s">
        <v>26</v>
      </c>
      <c r="F21" s="84"/>
      <c r="G21" s="56"/>
      <c r="H21" s="56"/>
      <c r="I21" s="56"/>
      <c r="J21" s="92"/>
      <c r="K21" s="59"/>
      <c r="L21" s="60"/>
      <c r="M21" s="60"/>
      <c r="N21" s="60"/>
      <c r="O21" s="61"/>
      <c r="P21" s="59"/>
      <c r="Q21" s="60"/>
      <c r="R21" s="60"/>
      <c r="S21" s="60"/>
      <c r="T21" s="61"/>
      <c r="U21" s="103"/>
      <c r="V21" s="97"/>
      <c r="W21" s="97"/>
      <c r="X21" s="97"/>
      <c r="Y21" s="104"/>
      <c r="Z21" s="103"/>
      <c r="AA21" s="97"/>
      <c r="AB21" s="97"/>
      <c r="AC21" s="97"/>
      <c r="AD21" s="104"/>
      <c r="AE21" s="103"/>
      <c r="AF21" s="97"/>
      <c r="AG21" s="97"/>
      <c r="AH21" s="97"/>
      <c r="AI21" s="104"/>
      <c r="AJ21" s="103"/>
      <c r="AK21" s="97"/>
      <c r="AL21" s="97"/>
      <c r="AM21" s="60"/>
      <c r="AN21" s="61"/>
      <c r="AO21" s="59"/>
      <c r="AP21" s="60"/>
      <c r="AQ21" s="60"/>
      <c r="AR21" s="60"/>
      <c r="AS21" s="61"/>
      <c r="AT21" s="59"/>
      <c r="AU21" s="60"/>
      <c r="AV21" s="60"/>
      <c r="AW21" s="60"/>
      <c r="AX21" s="61"/>
      <c r="AY21" s="59"/>
      <c r="AZ21" s="60"/>
      <c r="BA21" s="60"/>
      <c r="BB21" s="60"/>
      <c r="BC21" s="61"/>
      <c r="BD21" s="59"/>
      <c r="BE21" s="4"/>
      <c r="BF21" s="4"/>
    </row>
    <row r="22">
      <c r="A22" s="5"/>
      <c r="B22" s="44"/>
      <c r="C22" s="70"/>
      <c r="D22" s="70"/>
      <c r="E22" s="71"/>
      <c r="F22" s="72"/>
      <c r="G22" s="72"/>
      <c r="H22" s="72"/>
      <c r="I22" s="72"/>
      <c r="J22" s="72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4"/>
      <c r="AT22" s="73"/>
      <c r="AU22" s="73"/>
      <c r="AV22" s="73"/>
      <c r="AW22" s="73"/>
      <c r="AX22" s="74"/>
      <c r="AY22" s="73"/>
      <c r="AZ22" s="73"/>
      <c r="BA22" s="73"/>
      <c r="BB22" s="73"/>
      <c r="BC22" s="74"/>
      <c r="BD22" s="73"/>
      <c r="BE22" s="4"/>
      <c r="BF22" s="4"/>
    </row>
    <row r="23">
      <c r="A23" s="5"/>
      <c r="B23" s="75" t="s">
        <v>29</v>
      </c>
      <c r="D23" s="70"/>
      <c r="E23" s="85" t="s">
        <v>30</v>
      </c>
      <c r="F23" s="77"/>
      <c r="G23" s="37"/>
      <c r="H23" s="37"/>
      <c r="I23" s="37"/>
      <c r="J23" s="78"/>
      <c r="K23" s="41"/>
      <c r="L23" s="42"/>
      <c r="M23" s="42"/>
      <c r="N23" s="42"/>
      <c r="O23" s="43"/>
      <c r="P23" s="41"/>
      <c r="Q23" s="42"/>
      <c r="R23" s="42"/>
      <c r="S23" s="42"/>
      <c r="T23" s="43"/>
      <c r="U23" s="41"/>
      <c r="V23" s="42"/>
      <c r="W23" s="42"/>
      <c r="X23" s="42"/>
      <c r="Y23" s="43"/>
      <c r="Z23" s="41"/>
      <c r="AA23" s="42"/>
      <c r="AB23" s="42"/>
      <c r="AC23" s="42"/>
      <c r="AD23" s="43"/>
      <c r="AE23" s="41"/>
      <c r="AF23" s="42"/>
      <c r="AG23" s="105"/>
      <c r="AH23" s="105"/>
      <c r="AI23" s="86"/>
      <c r="AJ23" s="79"/>
      <c r="AK23" s="105"/>
      <c r="AL23" s="42"/>
      <c r="AM23" s="106"/>
      <c r="AN23" s="107"/>
      <c r="AO23" s="108"/>
      <c r="AP23" s="106"/>
      <c r="AQ23" s="106"/>
      <c r="AR23" s="106"/>
      <c r="AS23" s="107"/>
      <c r="AT23" s="108"/>
      <c r="AU23" s="106"/>
      <c r="AV23" s="106"/>
      <c r="AW23" s="106"/>
      <c r="AX23" s="107"/>
      <c r="AY23" s="108"/>
      <c r="AZ23" s="106"/>
      <c r="BA23" s="106"/>
      <c r="BB23" s="42"/>
      <c r="BC23" s="43"/>
      <c r="BD23" s="41"/>
      <c r="BE23" s="4"/>
      <c r="BF23" s="4"/>
    </row>
    <row r="24">
      <c r="A24" s="5"/>
      <c r="B24" s="44"/>
      <c r="C24" s="45" t="s">
        <v>31</v>
      </c>
      <c r="D24" s="45" t="s">
        <v>15</v>
      </c>
      <c r="E24" s="83" t="s">
        <v>32</v>
      </c>
      <c r="F24" s="47"/>
      <c r="G24" s="48"/>
      <c r="H24" s="48"/>
      <c r="I24" s="48"/>
      <c r="J24" s="88"/>
      <c r="K24" s="52"/>
      <c r="L24" s="53"/>
      <c r="M24" s="53"/>
      <c r="N24" s="53"/>
      <c r="O24" s="54"/>
      <c r="P24" s="52"/>
      <c r="Q24" s="53"/>
      <c r="R24" s="53"/>
      <c r="S24" s="53"/>
      <c r="T24" s="54"/>
      <c r="U24" s="52"/>
      <c r="V24" s="53"/>
      <c r="W24" s="53"/>
      <c r="X24" s="53"/>
      <c r="Y24" s="54"/>
      <c r="Z24" s="52"/>
      <c r="AA24" s="53"/>
      <c r="AB24" s="53"/>
      <c r="AC24" s="53"/>
      <c r="AD24" s="54"/>
      <c r="AE24" s="52"/>
      <c r="AF24" s="53"/>
      <c r="AG24" s="109"/>
      <c r="AH24" s="109"/>
      <c r="AI24" s="89"/>
      <c r="AJ24" s="110"/>
      <c r="AK24" s="109"/>
      <c r="AL24" s="53"/>
      <c r="AM24" s="99"/>
      <c r="AN24" s="102"/>
      <c r="AO24" s="98"/>
      <c r="AP24" s="99"/>
      <c r="AQ24" s="99"/>
      <c r="AR24" s="99"/>
      <c r="AS24" s="102"/>
      <c r="AT24" s="52"/>
      <c r="AU24" s="53"/>
      <c r="AV24" s="53"/>
      <c r="AW24" s="53"/>
      <c r="AX24" s="54"/>
      <c r="AY24" s="52"/>
      <c r="AZ24" s="53"/>
      <c r="BA24" s="53"/>
      <c r="BB24" s="53"/>
      <c r="BC24" s="54"/>
      <c r="BD24" s="52"/>
      <c r="BE24" s="4"/>
      <c r="BF24" s="4"/>
    </row>
    <row r="25">
      <c r="A25" s="5"/>
      <c r="B25" s="44"/>
      <c r="C25" s="45" t="s">
        <v>33</v>
      </c>
      <c r="D25" s="45" t="s">
        <v>12</v>
      </c>
      <c r="E25" s="83" t="s">
        <v>32</v>
      </c>
      <c r="F25" s="84"/>
      <c r="G25" s="56"/>
      <c r="H25" s="56"/>
      <c r="I25" s="56"/>
      <c r="J25" s="92"/>
      <c r="K25" s="59"/>
      <c r="L25" s="60"/>
      <c r="M25" s="60"/>
      <c r="N25" s="60"/>
      <c r="O25" s="61"/>
      <c r="P25" s="59"/>
      <c r="Q25" s="60"/>
      <c r="R25" s="60"/>
      <c r="S25" s="60"/>
      <c r="T25" s="61"/>
      <c r="U25" s="59"/>
      <c r="V25" s="60"/>
      <c r="W25" s="60"/>
      <c r="X25" s="60"/>
      <c r="Y25" s="61"/>
      <c r="Z25" s="59"/>
      <c r="AA25" s="60"/>
      <c r="AB25" s="60"/>
      <c r="AC25" s="60"/>
      <c r="AD25" s="61"/>
      <c r="AE25" s="59"/>
      <c r="AF25" s="60"/>
      <c r="AG25" s="95"/>
      <c r="AH25" s="95"/>
      <c r="AI25" s="111"/>
      <c r="AJ25" s="93"/>
      <c r="AK25" s="95"/>
      <c r="AL25" s="60"/>
      <c r="AM25" s="60"/>
      <c r="AN25" s="61"/>
      <c r="AO25" s="59"/>
      <c r="AP25" s="60"/>
      <c r="AQ25" s="60"/>
      <c r="AR25" s="97"/>
      <c r="AS25" s="104"/>
      <c r="AT25" s="103"/>
      <c r="AU25" s="97"/>
      <c r="AV25" s="97"/>
      <c r="AW25" s="97"/>
      <c r="AX25" s="104"/>
      <c r="AY25" s="59"/>
      <c r="AZ25" s="60"/>
      <c r="BA25" s="60"/>
      <c r="BB25" s="60"/>
      <c r="BC25" s="61"/>
      <c r="BD25" s="59"/>
      <c r="BE25" s="4"/>
      <c r="BF25" s="4"/>
    </row>
    <row r="26">
      <c r="A26" s="5"/>
      <c r="B26" s="44"/>
      <c r="C26" s="45" t="s">
        <v>34</v>
      </c>
      <c r="D26" s="45" t="s">
        <v>35</v>
      </c>
      <c r="E26" s="83" t="s">
        <v>10</v>
      </c>
      <c r="F26" s="62"/>
      <c r="G26" s="63"/>
      <c r="H26" s="63"/>
      <c r="I26" s="63"/>
      <c r="J26" s="112"/>
      <c r="K26" s="67"/>
      <c r="L26" s="68"/>
      <c r="M26" s="68"/>
      <c r="N26" s="68"/>
      <c r="O26" s="69"/>
      <c r="P26" s="67"/>
      <c r="Q26" s="68"/>
      <c r="R26" s="68"/>
      <c r="S26" s="68"/>
      <c r="T26" s="69"/>
      <c r="U26" s="67"/>
      <c r="V26" s="68"/>
      <c r="W26" s="68"/>
      <c r="X26" s="68"/>
      <c r="Y26" s="69"/>
      <c r="Z26" s="67"/>
      <c r="AA26" s="68"/>
      <c r="AB26" s="68"/>
      <c r="AC26" s="68"/>
      <c r="AD26" s="69"/>
      <c r="AE26" s="67"/>
      <c r="AF26" s="68"/>
      <c r="AG26" s="113"/>
      <c r="AH26" s="113"/>
      <c r="AI26" s="114"/>
      <c r="AJ26" s="115"/>
      <c r="AK26" s="113"/>
      <c r="AL26" s="68"/>
      <c r="AM26" s="68"/>
      <c r="AN26" s="69"/>
      <c r="AO26" s="67"/>
      <c r="AP26" s="68"/>
      <c r="AQ26" s="68"/>
      <c r="AR26" s="68"/>
      <c r="AS26" s="69"/>
      <c r="AT26" s="67"/>
      <c r="AU26" s="68"/>
      <c r="AV26" s="68"/>
      <c r="AW26" s="68"/>
      <c r="AX26" s="69"/>
      <c r="AY26" s="116">
        <v>3.0</v>
      </c>
      <c r="AZ26" s="117">
        <v>3.0</v>
      </c>
      <c r="BA26" s="117">
        <v>3.0</v>
      </c>
      <c r="BB26" s="68"/>
      <c r="BC26" s="69"/>
      <c r="BD26" s="67"/>
      <c r="BE26" s="4"/>
      <c r="BF26" s="4"/>
    </row>
    <row r="27">
      <c r="A27" s="5"/>
      <c r="B27" s="118"/>
      <c r="C27" s="119"/>
      <c r="D27" s="119"/>
      <c r="E27" s="119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1"/>
      <c r="AT27" s="120"/>
      <c r="AU27" s="120"/>
      <c r="AV27" s="120"/>
      <c r="AW27" s="120"/>
      <c r="AX27" s="121"/>
      <c r="AY27" s="120"/>
      <c r="AZ27" s="120"/>
      <c r="BA27" s="120"/>
      <c r="BB27" s="120"/>
      <c r="BC27" s="121"/>
      <c r="BD27" s="120"/>
      <c r="BE27" s="4"/>
      <c r="BF27" s="4"/>
    </row>
    <row r="28">
      <c r="A28" s="5"/>
      <c r="B28" s="122" t="s">
        <v>36</v>
      </c>
      <c r="C28" s="7"/>
      <c r="D28" s="123"/>
      <c r="E28" s="124"/>
      <c r="F28" s="125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>
        <v>1.0</v>
      </c>
      <c r="R28" s="128" t="s">
        <v>37</v>
      </c>
      <c r="S28" s="126"/>
      <c r="T28" s="126"/>
      <c r="U28" s="126"/>
      <c r="V28" s="126"/>
      <c r="W28" s="126"/>
      <c r="X28" s="126"/>
      <c r="Y28" s="129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0"/>
      <c r="AT28" s="126"/>
      <c r="AU28" s="126"/>
      <c r="AV28" s="126"/>
      <c r="AW28" s="126"/>
      <c r="AX28" s="130"/>
      <c r="AY28" s="126"/>
      <c r="AZ28" s="126"/>
      <c r="BA28" s="126"/>
      <c r="BB28" s="126"/>
      <c r="BC28" s="130"/>
      <c r="BD28" s="126"/>
      <c r="BE28" s="4"/>
      <c r="BF28" s="4"/>
    </row>
    <row r="29">
      <c r="A29" s="5"/>
      <c r="B29" s="44"/>
      <c r="C29" s="70"/>
      <c r="D29" s="70"/>
      <c r="E29" s="131"/>
      <c r="F29" s="132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4">
        <v>2.0</v>
      </c>
      <c r="AA29" s="135" t="s">
        <v>38</v>
      </c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6"/>
      <c r="AT29" s="133"/>
      <c r="AU29" s="133"/>
      <c r="AV29" s="133"/>
      <c r="AW29" s="133"/>
      <c r="AX29" s="136"/>
      <c r="AY29" s="133"/>
      <c r="AZ29" s="133"/>
      <c r="BA29" s="133"/>
      <c r="BB29" s="133"/>
      <c r="BC29" s="136"/>
      <c r="BD29" s="133"/>
      <c r="BE29" s="4"/>
      <c r="BF29" s="4"/>
    </row>
    <row r="30">
      <c r="A30" s="5"/>
      <c r="B30" s="44"/>
      <c r="C30" s="70"/>
      <c r="D30" s="70"/>
      <c r="E30" s="131"/>
      <c r="F30" s="132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4">
        <v>3.0</v>
      </c>
      <c r="AF30" s="135" t="s">
        <v>39</v>
      </c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6"/>
      <c r="AT30" s="133"/>
      <c r="AU30" s="133"/>
      <c r="AV30" s="133"/>
      <c r="AW30" s="133"/>
      <c r="AX30" s="136"/>
      <c r="AY30" s="133"/>
      <c r="AZ30" s="133"/>
      <c r="BA30" s="133"/>
      <c r="BB30" s="133"/>
      <c r="BC30" s="136"/>
      <c r="BD30" s="133"/>
      <c r="BE30" s="4"/>
      <c r="BF30" s="4"/>
    </row>
    <row r="31">
      <c r="A31" s="5"/>
      <c r="B31" s="118"/>
      <c r="C31" s="119"/>
      <c r="D31" s="119"/>
      <c r="E31" s="137"/>
      <c r="F31" s="138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40"/>
      <c r="AT31" s="139"/>
      <c r="AU31" s="139"/>
      <c r="AV31" s="139"/>
      <c r="AW31" s="139"/>
      <c r="AX31" s="140"/>
      <c r="AY31" s="139"/>
      <c r="AZ31" s="139"/>
      <c r="BA31" s="139"/>
      <c r="BB31" s="139"/>
      <c r="BC31" s="140"/>
      <c r="BD31" s="139"/>
      <c r="BE31" s="4"/>
      <c r="BF31" s="4"/>
    </row>
    <row r="32">
      <c r="A32" s="1"/>
      <c r="B32" s="141"/>
      <c r="C32" s="141"/>
      <c r="D32" s="141"/>
      <c r="E32" s="141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</sheetData>
  <mergeCells count="11">
    <mergeCell ref="B15:D15"/>
    <mergeCell ref="B19:D19"/>
    <mergeCell ref="B23:C23"/>
    <mergeCell ref="B28:C28"/>
    <mergeCell ref="B2:E2"/>
    <mergeCell ref="F2:AS2"/>
    <mergeCell ref="B3:E3"/>
    <mergeCell ref="B4:C4"/>
    <mergeCell ref="B5:E5"/>
    <mergeCell ref="B6:D6"/>
    <mergeCell ref="B11:D11"/>
  </mergeCells>
  <drawing r:id="rId1"/>
</worksheet>
</file>